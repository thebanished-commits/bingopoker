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iego\Downloads\"/>
    </mc:Choice>
  </mc:AlternateContent>
  <xr:revisionPtr revIDLastSave="0" documentId="13_ncr:1_{1CCF6148-BD22-47F7-8C71-4C531C9EC49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Posiciones" sheetId="1" r:id="rId1"/>
    <sheet name="rake" sheetId="8" r:id="rId2"/>
    <sheet name="Clasificacion de Puntos" sheetId="6" r:id="rId3"/>
  </sheets>
  <externalReferences>
    <externalReference r:id="rId4"/>
  </externalReferences>
  <definedNames>
    <definedName name="TipoMesa">'[1]Calculo Puntaje'!$A$48:$A$50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" l="1"/>
  <c r="L3" i="8"/>
  <c r="O8" i="1" l="1"/>
  <c r="O7" i="1"/>
  <c r="O6" i="1"/>
  <c r="O10" i="1"/>
  <c r="O5" i="1"/>
  <c r="O9" i="1"/>
  <c r="R6" i="1" l="1"/>
  <c r="S7" i="1" l="1"/>
  <c r="S8" i="1"/>
  <c r="R8" i="1"/>
  <c r="R7" i="1"/>
  <c r="S6" i="1"/>
</calcChain>
</file>

<file path=xl/sharedStrings.xml><?xml version="1.0" encoding="utf-8"?>
<sst xmlns="http://schemas.openxmlformats.org/spreadsheetml/2006/main" count="58" uniqueCount="47">
  <si>
    <t>Jugador</t>
  </si>
  <si>
    <t>FR</t>
  </si>
  <si>
    <t>Total</t>
  </si>
  <si>
    <t>Pos.</t>
  </si>
  <si>
    <t>Diego</t>
  </si>
  <si>
    <t>Mauro</t>
  </si>
  <si>
    <t>Cobre</t>
  </si>
  <si>
    <t>Robin</t>
  </si>
  <si>
    <t>Fecha</t>
  </si>
  <si>
    <t>F2</t>
  </si>
  <si>
    <t>F1</t>
  </si>
  <si>
    <t>F9</t>
  </si>
  <si>
    <t>F10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</si>
  <si>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</si>
  <si>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</si>
  <si>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</si>
  <si>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</si>
  <si>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</si>
  <si>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</si>
  <si>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</si>
  <si>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</si>
  <si>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</si>
  <si>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Campeonato</t>
  </si>
  <si>
    <t>Mesa Final</t>
  </si>
  <si>
    <t>Ganancias Totales</t>
  </si>
  <si>
    <t>Lugar - Tipo de mesa</t>
  </si>
  <si>
    <t>Torneo Regular Shorthanded. (SH)</t>
  </si>
  <si>
    <t xml:space="preserve">Torneo Regular Full ring. (FR) </t>
  </si>
  <si>
    <t xml:space="preserve">Torneo Regular Multitable (MM) </t>
  </si>
  <si>
    <t>Main Event Shorthanded (SH)</t>
  </si>
  <si>
    <t xml:space="preserve">Main Event Torneo Full ring (FR) </t>
  </si>
  <si>
    <t xml:space="preserve">Main Event Torneo Multitable. (MM) </t>
  </si>
  <si>
    <t>Jugadores</t>
  </si>
  <si>
    <t>1 a 4</t>
  </si>
  <si>
    <t>Hasta 9</t>
  </si>
  <si>
    <t>Desde 10</t>
  </si>
  <si>
    <t>-</t>
  </si>
  <si>
    <t>Posiciones</t>
  </si>
  <si>
    <t>Alonso</t>
  </si>
  <si>
    <t>Dany</t>
  </si>
  <si>
    <t>Bingo Poker Club</t>
  </si>
  <si>
    <t>F3</t>
  </si>
  <si>
    <t>F4</t>
  </si>
  <si>
    <t>F5</t>
  </si>
  <si>
    <t>F6</t>
  </si>
  <si>
    <t>F7</t>
  </si>
  <si>
    <t>F8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</si>
</sst>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0"/>
      <color theme="1" tint="0.34998626667073579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10"/>
      <name val="Arial"/>
      <family val="2"/>
    </font>
    <font>
      <b/>
      <sz val="10"/>
      <color rgb="FF000000"/>
      <name val="Calibri"/>
      <family val="2"/>
    </font>
    <font>
      <sz val="11"/>
      <color rgb="FF000000"/>
      <name val="Calibri"/>
      <family val="2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FFFF00"/>
      <name val="Calibri"/>
      <family val="2"/>
    </font>
    <font>
      <sz val="26"/>
      <color rgb="FFFFFF00"/>
      <name val="Arial"/>
      <family val="2"/>
    </font>
    <font>
      <b/>
      <sz val="10"/>
      <color rgb="FFFFFF00"/>
      <name val="Arial"/>
      <family val="2"/>
    </font>
    <font>
      <b/>
      <sz val="18"/>
      <color rgb="FFFFFF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2"/>
      <color rgb="FFFFFF00"/>
      <name val="Calibri"/>
      <family val="2"/>
      <scheme val="minor"/>
    </font>
    <font>
      <sz val="8"/>
      <name val="Arial"/>
      <family val="2"/>
    </font>
    <font>
      <sz val="10"/>
      <color rgb="FFFFFF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1">
    <xf numFmtId="0" fontId="0" fillId="0" borderId="0"/>
    <xf numFmtId="0" fontId="5" fillId="0" borderId="0"/>
    <xf numFmtId="0" fontId="10" fillId="0" borderId="0"/>
    <xf numFmtId="0" fontId="4" fillId="0" borderId="0"/>
    <xf numFmtId="0" fontId="10" fillId="0" borderId="0"/>
    <xf numFmtId="0" fontId="4" fillId="0" borderId="0"/>
    <xf numFmtId="0" fontId="3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1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50">
    <xf numFmtId="0" fontId="0" fillId="0" borderId="0" xfId="0"/>
    <xf numFmtId="0" fontId="0" fillId="0" borderId="4" xfId="0" applyBorder="1"/>
    <xf numFmtId="3" fontId="9" fillId="0" borderId="0" xfId="0" applyNumberFormat="1" applyFont="1" applyBorder="1" applyAlignment="1">
      <alignment horizontal="right"/>
    </xf>
    <xf numFmtId="0" fontId="6" fillId="0" borderId="0" xfId="0" applyFont="1" applyFill="1" applyBorder="1" applyAlignment="1">
      <alignment horizontal="center" vertical="center"/>
    </xf>
    <xf numFmtId="0" fontId="7" fillId="0" borderId="4" xfId="0" applyFont="1" applyBorder="1"/>
    <xf numFmtId="0" fontId="10" fillId="0" borderId="0" xfId="0" applyFont="1"/>
    <xf numFmtId="0" fontId="0" fillId="0" borderId="10" xfId="0" applyBorder="1"/>
    <xf numFmtId="0" fontId="0" fillId="0" borderId="11" xfId="0" applyBorder="1"/>
    <xf numFmtId="0" fontId="0" fillId="0" borderId="9" xfId="0" applyBorder="1"/>
    <xf numFmtId="0" fontId="12" fillId="0" borderId="3" xfId="0" applyFont="1" applyBorder="1" applyAlignment="1">
      <alignment horizontal="center" vertical="center"/>
    </xf>
    <xf numFmtId="3" fontId="14" fillId="2" borderId="4" xfId="2" applyNumberFormat="1" applyFont="1" applyFill="1" applyBorder="1"/>
    <xf numFmtId="3" fontId="14" fillId="2" borderId="4" xfId="4" applyNumberFormat="1" applyFont="1" applyFill="1" applyBorder="1"/>
    <xf numFmtId="3" fontId="14" fillId="2" borderId="4" xfId="12" applyNumberFormat="1" applyFont="1" applyFill="1" applyBorder="1"/>
    <xf numFmtId="3" fontId="14" fillId="3" borderId="4" xfId="20" applyNumberFormat="1" applyFont="1" applyFill="1" applyBorder="1"/>
    <xf numFmtId="3" fontId="14" fillId="3" borderId="4" xfId="0" applyNumberFormat="1" applyFont="1" applyFill="1" applyBorder="1"/>
    <xf numFmtId="0" fontId="15" fillId="4" borderId="5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1" fillId="5" borderId="16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 wrapText="1"/>
    </xf>
    <xf numFmtId="0" fontId="16" fillId="4" borderId="0" xfId="0" applyFont="1" applyFill="1" applyAlignment="1">
      <alignment horizontal="left"/>
    </xf>
    <xf numFmtId="0" fontId="13" fillId="6" borderId="4" xfId="2" applyFont="1" applyFill="1" applyBorder="1" applyAlignment="1">
      <alignment horizontal="center"/>
    </xf>
    <xf numFmtId="3" fontId="13" fillId="6" borderId="4" xfId="0" applyNumberFormat="1" applyFont="1" applyFill="1" applyBorder="1" applyAlignment="1">
      <alignment horizontal="right"/>
    </xf>
    <xf numFmtId="0" fontId="17" fillId="4" borderId="14" xfId="0" applyFont="1" applyFill="1" applyBorder="1" applyAlignment="1">
      <alignment horizontal="center" wrapText="1"/>
    </xf>
    <xf numFmtId="0" fontId="18" fillId="4" borderId="12" xfId="0" applyFont="1" applyFill="1" applyBorder="1" applyAlignment="1">
      <alignment horizontal="center" vertical="center" wrapText="1"/>
    </xf>
    <xf numFmtId="0" fontId="18" fillId="4" borderId="13" xfId="0" applyFont="1" applyFill="1" applyBorder="1" applyAlignment="1">
      <alignment horizontal="center" vertical="center" wrapText="1"/>
    </xf>
    <xf numFmtId="0" fontId="18" fillId="4" borderId="14" xfId="0" applyFont="1" applyFill="1" applyBorder="1" applyAlignment="1">
      <alignment horizontal="center" vertical="center" wrapText="1"/>
    </xf>
    <xf numFmtId="0" fontId="19" fillId="6" borderId="4" xfId="0" applyFont="1" applyFill="1" applyBorder="1" applyAlignment="1">
      <alignment horizontal="center" vertical="center"/>
    </xf>
    <xf numFmtId="0" fontId="20" fillId="6" borderId="4" xfId="0" applyFont="1" applyFill="1" applyBorder="1" applyAlignment="1">
      <alignment horizontal="center" vertical="center"/>
    </xf>
    <xf numFmtId="0" fontId="19" fillId="6" borderId="4" xfId="0" applyFont="1" applyFill="1" applyBorder="1" applyAlignment="1">
      <alignment horizontal="center" vertical="center"/>
    </xf>
    <xf numFmtId="49" fontId="19" fillId="6" borderId="4" xfId="0" applyNumberFormat="1" applyFont="1" applyFill="1" applyBorder="1" applyAlignment="1">
      <alignment horizontal="center" vertical="center"/>
    </xf>
    <xf numFmtId="49" fontId="19" fillId="6" borderId="4" xfId="0" applyNumberFormat="1" applyFont="1" applyFill="1" applyBorder="1"/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14" fillId="3" borderId="4" xfId="0" applyNumberFormat="1" applyFont="1" applyFill="1" applyBorder="1" applyAlignment="1">
      <alignment horizontal="center" vertical="center"/>
    </xf>
    <xf numFmtId="3" fontId="8" fillId="2" borderId="17" xfId="2" applyNumberFormat="1" applyFont="1" applyFill="1" applyBorder="1" applyAlignment="1"/>
    <xf numFmtId="3" fontId="8" fillId="2" borderId="18" xfId="2" applyNumberFormat="1" applyFont="1" applyFill="1" applyBorder="1" applyAlignment="1"/>
    <xf numFmtId="0" fontId="10" fillId="0" borderId="15" xfId="0" applyFont="1" applyBorder="1" applyAlignment="1">
      <alignment horizontal="center"/>
    </xf>
    <xf numFmtId="0" fontId="0" fillId="0" borderId="5" xfId="0" applyBorder="1"/>
    <xf numFmtId="0" fontId="17" fillId="4" borderId="6" xfId="0" applyFont="1" applyFill="1" applyBorder="1" applyAlignment="1">
      <alignment horizontal="center" vertical="center"/>
    </xf>
    <xf numFmtId="0" fontId="17" fillId="4" borderId="7" xfId="0" applyFont="1" applyFill="1" applyBorder="1" applyAlignment="1">
      <alignment horizontal="center" vertical="center"/>
    </xf>
    <xf numFmtId="0" fontId="17" fillId="4" borderId="2" xfId="0" applyFont="1" applyFill="1" applyBorder="1" applyAlignment="1">
      <alignment horizontal="center" vertical="center"/>
    </xf>
    <xf numFmtId="0" fontId="10" fillId="0" borderId="10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0" fontId="22" fillId="4" borderId="6" xfId="0" applyFont="1" applyFill="1" applyBorder="1"/>
    <xf numFmtId="0" fontId="22" fillId="4" borderId="7" xfId="0" applyFont="1" applyFill="1" applyBorder="1"/>
    <xf numFmtId="0" fontId="22" fillId="4" borderId="2" xfId="0" applyFont="1" applyFill="1" applyBorder="1"/>
    <xf numFmtId="0" fontId="17" fillId="4" borderId="12" xfId="0" applyFont="1" applyFill="1" applyBorder="1" applyAlignment="1">
      <alignment horizontal="center"/>
    </xf>
    <xf numFmtId="0" fontId="17" fillId="4" borderId="13" xfId="0" applyFont="1" applyFill="1" applyBorder="1" applyAlignment="1">
      <alignment horizontal="center" vertical="center"/>
    </xf>
    <xf numFmtId="0" fontId="17" fillId="6" borderId="8" xfId="0" applyFont="1" applyFill="1" applyBorder="1" applyAlignment="1">
      <alignment horizontal="center"/>
    </xf>
    <xf numFmtId="0" fontId="17" fillId="6" borderId="15" xfId="0" applyFont="1" applyFill="1" applyBorder="1" applyAlignment="1">
      <alignment horizontal="center"/>
    </xf>
  </cellXfs>
  <cellStyles count="21">
    <cellStyle name="Normal" xfId="0" builtinId="0"/>
    <cellStyle name="Normal 10" xfId="20" xr:uid="{00000000-0005-0000-0000-000001000000}"/>
    <cellStyle name="Normal 2" xfId="2" xr:uid="{00000000-0005-0000-0000-000002000000}"/>
    <cellStyle name="Normal 3" xfId="1" xr:uid="{00000000-0005-0000-0000-000003000000}"/>
    <cellStyle name="Normal 3 2" xfId="5" xr:uid="{00000000-0005-0000-0000-000004000000}"/>
    <cellStyle name="Normal 3 2 2" xfId="10" xr:uid="{00000000-0005-0000-0000-000005000000}"/>
    <cellStyle name="Normal 3 2 2 2" xfId="19" xr:uid="{00000000-0005-0000-0000-000006000000}"/>
    <cellStyle name="Normal 3 2 3" xfId="15" xr:uid="{00000000-0005-0000-0000-000007000000}"/>
    <cellStyle name="Normal 3 3" xfId="8" xr:uid="{00000000-0005-0000-0000-000008000000}"/>
    <cellStyle name="Normal 3 3 2" xfId="17" xr:uid="{00000000-0005-0000-0000-000009000000}"/>
    <cellStyle name="Normal 3 4" xfId="13" xr:uid="{00000000-0005-0000-0000-00000A000000}"/>
    <cellStyle name="Normal 4" xfId="4" xr:uid="{00000000-0005-0000-0000-00000B000000}"/>
    <cellStyle name="Normal 5" xfId="3" xr:uid="{00000000-0005-0000-0000-00000C000000}"/>
    <cellStyle name="Normal 5 2" xfId="9" xr:uid="{00000000-0005-0000-0000-00000D000000}"/>
    <cellStyle name="Normal 5 2 2" xfId="18" xr:uid="{00000000-0005-0000-0000-00000E000000}"/>
    <cellStyle name="Normal 5 3" xfId="14" xr:uid="{00000000-0005-0000-0000-00000F000000}"/>
    <cellStyle name="Normal 6" xfId="7" xr:uid="{00000000-0005-0000-0000-000010000000}"/>
    <cellStyle name="Normal 7" xfId="6" xr:uid="{00000000-0005-0000-0000-000011000000}"/>
    <cellStyle name="Normal 7 2" xfId="16" xr:uid="{00000000-0005-0000-0000-000012000000}"/>
    <cellStyle name="Normal 8" xfId="12" xr:uid="{00000000-0005-0000-0000-000013000000}"/>
    <cellStyle name="Normal 9" xfId="11" xr:uid="{00000000-0005-0000-0000-000014000000}"/>
  </cellStyles>
  <dxfs count="0"/>
  <tableStyles count="0" defaultTableStyle="TableStyleMedium9" defaultPivotStyle="PivotStyleLight16"/>
  <colors>
    <mruColors>
      <color rgb="FFFFCC00"/>
      <color rgb="FFCC370E"/>
      <color rgb="FFDD3B0F"/>
      <color rgb="FFC334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436562</xdr:colOff>
      <xdr:row>0</xdr:row>
      <xdr:rowOff>0</xdr:rowOff>
    </xdr:from>
    <xdr:to>
      <xdr:col>24</xdr:col>
      <xdr:colOff>445071</xdr:colOff>
      <xdr:row>13</xdr:row>
      <xdr:rowOff>48902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32CFCBE-8B9E-48A7-901C-A37E6A0010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58125" y="0"/>
          <a:ext cx="2302446" cy="252540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dgalvez/AppData/Local/Microsoft/Windows/Temporary%20Internet%20Files/Content.Outlook/M2T511IL/Calendario%20y%20Puntajes%20Liga%20Oficial.xls" TargetMode="External"/><Relationship Id="rId1" Type="http://schemas.openxmlformats.org/officeDocument/2006/relationships/externalLinkPath" Target="/Users/dgalvez/AppData/Local/Microsoft/Windows/Temporary%20Internet%20Files/Content.Outlook/M2T511IL/Calendario%20y%20Puntajes%20Liga%20Oficial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alendario Liga"/>
      <sheetName val="Detalle por Fecha"/>
      <sheetName val="Calculo Puntaje"/>
      <sheetName val="Ranking"/>
    </sheetNames>
    <sheetDataSet>
      <sheetData sheetId="0"/>
      <sheetData sheetId="1"/>
      <sheetData sheetId="2">
        <row r="48">
          <cell r="A48" t="str">
            <v>Short Handled</v>
          </cell>
        </row>
        <row r="49">
          <cell r="A49" t="str">
            <v>Full Ring</v>
          </cell>
        </row>
        <row r="50">
          <cell r="A50" t="str">
            <v>Multimesa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S25"/>
  <sheetViews>
    <sheetView showGridLines="0" tabSelected="1" zoomScale="80" zoomScaleNormal="80" workbookViewId="0">
      <selection activeCell="S21" sqref="S21"/>
    </sheetView>
  </sheetViews>
  <sheetFormatPr baseColWidth="10" defaultRowHeight="12.5" x14ac:dyDescent="0.25"/>
  <cols>
    <col min="1" max="1" width="3.453125" customWidth="1"/>
    <col min="2" max="2" width="4.7265625" bestFit="1" customWidth="1"/>
    <col min="3" max="3" width="10.453125" bestFit="1" customWidth="1"/>
    <col min="4" max="4" width="5.6328125" bestFit="1" customWidth="1"/>
    <col min="5" max="8" width="2.81640625" bestFit="1" customWidth="1"/>
    <col min="9" max="9" width="3.81640625" bestFit="1" customWidth="1"/>
    <col min="10" max="10" width="3.08984375" bestFit="1" customWidth="1"/>
    <col min="11" max="11" width="3.54296875" bestFit="1" customWidth="1"/>
    <col min="12" max="13" width="2.81640625" bestFit="1" customWidth="1"/>
    <col min="14" max="14" width="3.81640625" bestFit="1" customWidth="1"/>
    <col min="15" max="15" width="5.453125" bestFit="1" customWidth="1"/>
    <col min="16" max="16" width="3.453125" bestFit="1" customWidth="1"/>
    <col min="17" max="17" width="10.6328125" bestFit="1" customWidth="1"/>
    <col min="18" max="18" width="16.90625" bestFit="1" customWidth="1"/>
    <col min="19" max="19" width="14.08984375" customWidth="1"/>
    <col min="20" max="20" width="9.54296875" bestFit="1" customWidth="1"/>
    <col min="21" max="22" width="3.90625" bestFit="1" customWidth="1"/>
    <col min="23" max="23" width="4.6328125" customWidth="1"/>
  </cols>
  <sheetData>
    <row r="1" spans="2:19" ht="13" thickBot="1" x14ac:dyDescent="0.3"/>
    <row r="2" spans="2:19" ht="23.5" x14ac:dyDescent="0.25">
      <c r="B2" s="23" t="s">
        <v>40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5"/>
      <c r="Q2" s="38" t="s">
        <v>24</v>
      </c>
      <c r="R2" s="39"/>
      <c r="S2" s="40"/>
    </row>
    <row r="3" spans="2:19" ht="15" thickBot="1" x14ac:dyDescent="0.4">
      <c r="B3" s="26" t="s">
        <v>3</v>
      </c>
      <c r="C3" s="26" t="s">
        <v>0</v>
      </c>
      <c r="D3" s="26" t="s">
        <v>8</v>
      </c>
      <c r="E3" s="29" t="s">
        <v>13</v>
      </c>
      <c r="F3" s="30" t="s">
        <v>14</v>
      </c>
      <c r="G3" s="29" t="s">
        <v>15</v>
      </c>
      <c r="H3" s="30" t="s">
        <v>16</v>
      </c>
      <c r="I3" s="29" t="s">
        <v>17</v>
      </c>
      <c r="J3" s="30" t="s">
        <v>18</v>
      </c>
      <c r="K3" s="29" t="s">
        <v>19</v>
      </c>
      <c r="L3" s="30" t="s">
        <v>20</v>
      </c>
      <c r="M3" s="29" t="s">
        <v>21</v>
      </c>
      <c r="N3" s="28">
        <v>10</v>
      </c>
      <c r="O3" s="27" t="s">
        <v>2</v>
      </c>
      <c r="P3" s="3"/>
      <c r="Q3" s="36">
        <f>rake!L3</f>
        <v>39000</v>
      </c>
      <c r="R3" s="41"/>
      <c r="S3" s="42"/>
    </row>
    <row r="4" spans="2:19" ht="15" thickBot="1" x14ac:dyDescent="0.3">
      <c r="B4" s="26"/>
      <c r="C4" s="26"/>
      <c r="D4" s="26"/>
      <c r="E4" s="28" t="s">
        <v>1</v>
      </c>
      <c r="F4" s="28"/>
      <c r="G4" s="28"/>
      <c r="H4" s="28"/>
      <c r="I4" s="28"/>
      <c r="J4" s="28"/>
      <c r="K4" s="28"/>
      <c r="L4" s="28"/>
      <c r="M4" s="28"/>
      <c r="N4" s="28"/>
      <c r="O4" s="27"/>
      <c r="P4" s="3"/>
      <c r="Q4" s="5"/>
    </row>
    <row r="5" spans="2:19" ht="14.5" x14ac:dyDescent="0.35">
      <c r="B5" s="20">
        <v>1</v>
      </c>
      <c r="C5" s="34" t="s">
        <v>7</v>
      </c>
      <c r="D5" s="35"/>
      <c r="E5" s="10">
        <v>50</v>
      </c>
      <c r="F5" s="10"/>
      <c r="G5" s="10"/>
      <c r="H5" s="11"/>
      <c r="I5" s="33"/>
      <c r="J5" s="10"/>
      <c r="K5" s="10"/>
      <c r="L5" s="12"/>
      <c r="M5" s="14"/>
      <c r="N5" s="33"/>
      <c r="O5" s="21">
        <f>SUM(E5:N5)</f>
        <v>50</v>
      </c>
      <c r="P5" s="2"/>
      <c r="Q5" s="46" t="s">
        <v>37</v>
      </c>
      <c r="R5" s="47" t="s">
        <v>22</v>
      </c>
      <c r="S5" s="22" t="s">
        <v>23</v>
      </c>
    </row>
    <row r="6" spans="2:19" ht="14.5" x14ac:dyDescent="0.35">
      <c r="B6" s="20">
        <v>2</v>
      </c>
      <c r="C6" s="34" t="s">
        <v>38</v>
      </c>
      <c r="D6" s="35"/>
      <c r="E6" s="10">
        <v>35</v>
      </c>
      <c r="F6" s="10"/>
      <c r="G6" s="10"/>
      <c r="H6" s="11"/>
      <c r="I6" s="33"/>
      <c r="J6" s="10"/>
      <c r="K6" s="10"/>
      <c r="L6" s="10"/>
      <c r="M6" s="13"/>
      <c r="N6" s="33"/>
      <c r="O6" s="21">
        <f>SUM(E6:N6)</f>
        <v>35</v>
      </c>
      <c r="P6" s="2"/>
      <c r="Q6" s="48">
        <v>1</v>
      </c>
      <c r="R6" s="1">
        <f>(Q3*60%)*50%</f>
        <v>11700</v>
      </c>
      <c r="S6" s="8">
        <f>(Q3*30%)*50%</f>
        <v>5850</v>
      </c>
    </row>
    <row r="7" spans="2:19" ht="14.5" x14ac:dyDescent="0.35">
      <c r="B7" s="20">
        <v>3</v>
      </c>
      <c r="C7" s="34" t="s">
        <v>5</v>
      </c>
      <c r="D7" s="35"/>
      <c r="E7" s="10">
        <v>20</v>
      </c>
      <c r="F7" s="10"/>
      <c r="G7" s="10"/>
      <c r="H7" s="11"/>
      <c r="I7" s="33"/>
      <c r="J7" s="4"/>
      <c r="K7" s="4"/>
      <c r="L7" s="4"/>
      <c r="M7" s="4"/>
      <c r="N7" s="33"/>
      <c r="O7" s="21">
        <f>SUM(E7:N7)</f>
        <v>20</v>
      </c>
      <c r="P7" s="2"/>
      <c r="Q7" s="48">
        <v>2</v>
      </c>
      <c r="R7" s="1">
        <f>(Q3*60%)*30%</f>
        <v>7020</v>
      </c>
      <c r="S7" s="8">
        <f>(Q3*30%)*30%</f>
        <v>3510</v>
      </c>
    </row>
    <row r="8" spans="2:19" ht="15" thickBot="1" x14ac:dyDescent="0.4">
      <c r="B8" s="20">
        <v>4</v>
      </c>
      <c r="C8" s="34" t="s">
        <v>6</v>
      </c>
      <c r="D8" s="35"/>
      <c r="E8" s="10">
        <v>10</v>
      </c>
      <c r="F8" s="10"/>
      <c r="G8" s="10"/>
      <c r="H8" s="11"/>
      <c r="I8" s="33"/>
      <c r="J8" s="10"/>
      <c r="K8" s="10"/>
      <c r="L8" s="10"/>
      <c r="M8" s="13"/>
      <c r="N8" s="33"/>
      <c r="O8" s="21">
        <f>SUM(E8:N8)</f>
        <v>10</v>
      </c>
      <c r="P8" s="2"/>
      <c r="Q8" s="49">
        <v>3</v>
      </c>
      <c r="R8" s="6">
        <f>(Q3*60%)*20%</f>
        <v>4680</v>
      </c>
      <c r="S8" s="7">
        <f>(Q3*30%)*20%</f>
        <v>2340</v>
      </c>
    </row>
    <row r="9" spans="2:19" ht="14.5" x14ac:dyDescent="0.35">
      <c r="B9" s="20">
        <v>5</v>
      </c>
      <c r="C9" s="34" t="s">
        <v>4</v>
      </c>
      <c r="D9" s="35"/>
      <c r="E9" s="10">
        <v>0</v>
      </c>
      <c r="F9" s="10"/>
      <c r="G9" s="10"/>
      <c r="H9" s="11"/>
      <c r="I9" s="33"/>
      <c r="J9" s="10"/>
      <c r="K9" s="10"/>
      <c r="L9" s="12"/>
      <c r="M9" s="13"/>
      <c r="N9" s="33"/>
      <c r="O9" s="21">
        <f>SUM(E9:N9)</f>
        <v>0</v>
      </c>
      <c r="P9" s="2"/>
    </row>
    <row r="10" spans="2:19" ht="14.5" x14ac:dyDescent="0.35">
      <c r="B10" s="20">
        <v>6</v>
      </c>
      <c r="C10" s="34" t="s">
        <v>39</v>
      </c>
      <c r="D10" s="35"/>
      <c r="E10" s="10">
        <v>0</v>
      </c>
      <c r="F10" s="10"/>
      <c r="G10" s="10"/>
      <c r="H10" s="11"/>
      <c r="I10" s="33"/>
      <c r="J10" s="10"/>
      <c r="K10" s="10"/>
      <c r="L10" s="12"/>
      <c r="M10" s="13"/>
      <c r="N10" s="33"/>
      <c r="O10" s="21">
        <f>SUM(E10:N10)</f>
        <v>0</v>
      </c>
      <c r="P10" s="2"/>
    </row>
    <row r="11" spans="2:19" ht="14.5" x14ac:dyDescent="0.35">
      <c r="B11" s="20">
        <v>7</v>
      </c>
      <c r="C11" s="31"/>
      <c r="D11" s="32"/>
      <c r="E11" s="10"/>
      <c r="F11" s="10"/>
      <c r="G11" s="10"/>
      <c r="H11" s="11"/>
      <c r="I11" s="33"/>
      <c r="J11" s="4"/>
      <c r="K11" s="4"/>
      <c r="L11" s="4"/>
      <c r="M11" s="4"/>
      <c r="N11" s="33"/>
      <c r="O11" s="21"/>
      <c r="P11" s="2"/>
    </row>
    <row r="12" spans="2:19" ht="14.5" x14ac:dyDescent="0.35">
      <c r="P12" s="2"/>
    </row>
    <row r="24" spans="19:19" ht="13" thickBot="1" x14ac:dyDescent="0.3"/>
    <row r="25" spans="19:19" ht="13" thickBot="1" x14ac:dyDescent="0.3">
      <c r="S25" s="37"/>
    </row>
  </sheetData>
  <sortState xmlns:xlrd2="http://schemas.microsoft.com/office/spreadsheetml/2017/richdata2" ref="C5:O10">
    <sortCondition descending="1" ref="O5:O10"/>
  </sortState>
  <mergeCells count="8">
    <mergeCell ref="Q2:S2"/>
    <mergeCell ref="Q3:S3"/>
    <mergeCell ref="C11:D11"/>
    <mergeCell ref="B3:B4"/>
    <mergeCell ref="C3:C4"/>
    <mergeCell ref="O3:O4"/>
    <mergeCell ref="D3:D4"/>
    <mergeCell ref="B2:O2"/>
  </mergeCells>
  <pageMargins left="0.7" right="0.7" top="0.75" bottom="0.75" header="0.3" footer="0.3"/>
  <pageSetup paperSize="9" orientation="portrait" r:id="rId1"/>
  <ignoredErrors>
    <ignoredError sqref="E3:M3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4BD71-0880-49F5-B789-D3BA870B12E8}">
  <dimension ref="B1:L3"/>
  <sheetViews>
    <sheetView workbookViewId="0">
      <selection activeCell="F12" sqref="F12"/>
    </sheetView>
  </sheetViews>
  <sheetFormatPr baseColWidth="10" defaultRowHeight="12.5" x14ac:dyDescent="0.25"/>
  <sheetData>
    <row r="1" spans="2:12" ht="13" thickBot="1" x14ac:dyDescent="0.3"/>
    <row r="2" spans="2:12" x14ac:dyDescent="0.25">
      <c r="B2" s="43" t="s">
        <v>10</v>
      </c>
      <c r="C2" s="44" t="s">
        <v>9</v>
      </c>
      <c r="D2" s="44" t="s">
        <v>41</v>
      </c>
      <c r="E2" s="44" t="s">
        <v>42</v>
      </c>
      <c r="F2" s="44" t="s">
        <v>43</v>
      </c>
      <c r="G2" s="44" t="s">
        <v>44</v>
      </c>
      <c r="H2" s="44" t="s">
        <v>45</v>
      </c>
      <c r="I2" s="44" t="s">
        <v>46</v>
      </c>
      <c r="J2" s="44" t="s">
        <v>11</v>
      </c>
      <c r="K2" s="44" t="s">
        <v>12</v>
      </c>
      <c r="L2" s="45" t="s">
        <v>2</v>
      </c>
    </row>
    <row r="3" spans="2:12" x14ac:dyDescent="0.25">
      <c r="B3" s="1">
        <v>39000</v>
      </c>
      <c r="C3" s="1"/>
      <c r="D3" s="1"/>
      <c r="E3" s="1"/>
      <c r="F3" s="1"/>
      <c r="G3" s="1"/>
      <c r="H3" s="1"/>
      <c r="I3" s="1"/>
      <c r="J3" s="1"/>
      <c r="K3" s="1"/>
      <c r="L3" s="1">
        <f>SUM(B3:K3)</f>
        <v>39000</v>
      </c>
    </row>
  </sheetData>
  <phoneticPr fontId="2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9"/>
  <sheetViews>
    <sheetView showGridLines="0" zoomScale="87" zoomScaleNormal="100" workbookViewId="0">
      <selection activeCell="D13" sqref="D13"/>
    </sheetView>
  </sheetViews>
  <sheetFormatPr baseColWidth="10" defaultRowHeight="12.5" x14ac:dyDescent="0.25"/>
  <sheetData>
    <row r="1" spans="2:8" ht="32.5" x14ac:dyDescent="0.65">
      <c r="B1" s="19"/>
      <c r="C1" s="19"/>
      <c r="D1" s="19"/>
      <c r="E1" s="19"/>
      <c r="F1" s="19"/>
      <c r="G1" s="19"/>
      <c r="H1" s="19"/>
    </row>
    <row r="2" spans="2:8" ht="13" thickBot="1" x14ac:dyDescent="0.3"/>
    <row r="3" spans="2:8" ht="52.5" thickBot="1" x14ac:dyDescent="0.3">
      <c r="B3" s="15" t="s">
        <v>25</v>
      </c>
      <c r="C3" s="16" t="s">
        <v>26</v>
      </c>
      <c r="D3" s="16" t="s">
        <v>27</v>
      </c>
      <c r="E3" s="16" t="s">
        <v>28</v>
      </c>
      <c r="F3" s="16" t="s">
        <v>29</v>
      </c>
      <c r="G3" s="16" t="s">
        <v>30</v>
      </c>
      <c r="H3" s="16" t="s">
        <v>31</v>
      </c>
    </row>
    <row r="4" spans="2:8" ht="13.5" thickBot="1" x14ac:dyDescent="0.3">
      <c r="B4" s="17" t="s">
        <v>32</v>
      </c>
      <c r="C4" s="18" t="s">
        <v>33</v>
      </c>
      <c r="D4" s="18" t="s">
        <v>34</v>
      </c>
      <c r="E4" s="18" t="s">
        <v>35</v>
      </c>
      <c r="F4" s="18" t="s">
        <v>33</v>
      </c>
      <c r="G4" s="18" t="s">
        <v>34</v>
      </c>
      <c r="H4" s="18" t="s">
        <v>35</v>
      </c>
    </row>
    <row r="5" spans="2:8" ht="15" thickBot="1" x14ac:dyDescent="0.3">
      <c r="B5" s="17">
        <v>1</v>
      </c>
      <c r="C5" s="9">
        <v>30</v>
      </c>
      <c r="D5" s="9">
        <v>50</v>
      </c>
      <c r="E5" s="9">
        <v>70</v>
      </c>
      <c r="F5" s="9">
        <v>70</v>
      </c>
      <c r="G5" s="9">
        <v>100</v>
      </c>
      <c r="H5" s="9">
        <v>130</v>
      </c>
    </row>
    <row r="6" spans="2:8" ht="15" thickBot="1" x14ac:dyDescent="0.3">
      <c r="B6" s="17">
        <v>2</v>
      </c>
      <c r="C6" s="9">
        <v>10</v>
      </c>
      <c r="D6" s="9">
        <v>35</v>
      </c>
      <c r="E6" s="9">
        <v>50</v>
      </c>
      <c r="F6" s="9">
        <v>30</v>
      </c>
      <c r="G6" s="9">
        <v>75</v>
      </c>
      <c r="H6" s="9">
        <v>90</v>
      </c>
    </row>
    <row r="7" spans="2:8" ht="15" thickBot="1" x14ac:dyDescent="0.3">
      <c r="B7" s="17">
        <v>3</v>
      </c>
      <c r="C7" s="9" t="s">
        <v>36</v>
      </c>
      <c r="D7" s="9">
        <v>20</v>
      </c>
      <c r="E7" s="9">
        <v>30</v>
      </c>
      <c r="F7" s="9" t="s">
        <v>36</v>
      </c>
      <c r="G7" s="9">
        <v>40</v>
      </c>
      <c r="H7" s="9">
        <v>50</v>
      </c>
    </row>
    <row r="8" spans="2:8" ht="15" thickBot="1" x14ac:dyDescent="0.3">
      <c r="B8" s="17">
        <v>4</v>
      </c>
      <c r="C8" s="9" t="s">
        <v>36</v>
      </c>
      <c r="D8" s="9">
        <v>10</v>
      </c>
      <c r="E8" s="9">
        <v>20</v>
      </c>
      <c r="F8" s="9" t="s">
        <v>36</v>
      </c>
      <c r="G8" s="9">
        <v>20</v>
      </c>
      <c r="H8" s="9">
        <v>35</v>
      </c>
    </row>
    <row r="9" spans="2:8" ht="15" thickBot="1" x14ac:dyDescent="0.3">
      <c r="B9" s="17">
        <v>5</v>
      </c>
      <c r="C9" s="9" t="s">
        <v>36</v>
      </c>
      <c r="D9" s="9" t="s">
        <v>36</v>
      </c>
      <c r="E9" s="9" t="s">
        <v>36</v>
      </c>
      <c r="F9" s="9" t="s">
        <v>36</v>
      </c>
      <c r="G9" s="9">
        <v>10</v>
      </c>
      <c r="H9" s="9">
        <v>20</v>
      </c>
    </row>
  </sheetData>
  <mergeCells count="1">
    <mergeCell ref="B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Posiciones</vt:lpstr>
      <vt:lpstr>rake</vt:lpstr>
      <vt:lpstr>Clasificacion de Puntos</vt:lpstr>
    </vt:vector>
  </TitlesOfParts>
  <Company>Payroll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dgalvez</dc:creator>
  <cp:lastModifiedBy>Diego Galvez</cp:lastModifiedBy>
  <cp:lastPrinted>2015-11-10T12:51:08Z</cp:lastPrinted>
  <dcterms:created xsi:type="dcterms:W3CDTF">2011-11-02T17:26:58Z</dcterms:created>
  <dcterms:modified xsi:type="dcterms:W3CDTF">2026-08-05T03:12:46Z</dcterms:modified>
</cp:coreProperties>
</file>