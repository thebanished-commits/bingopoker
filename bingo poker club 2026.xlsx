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.gemini\antigravity\scratch\bingo-poker-app\"/>
    </mc:Choice>
  </mc:AlternateContent>
  <xr:revisionPtr revIDLastSave="0" documentId="8_{11BE2A7F-4C0C-4EC2-B5E7-404CEE4724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iciones" sheetId="1" r:id="rId1"/>
    <sheet name="rake" sheetId="2" r:id="rId2"/>
    <sheet name="Clasificacion de Puntos" sheetId="3" r:id="rId3"/>
  </sheets>
  <externalReferences>
    <externalReference r:id="rId4"/>
  </externalReferences>
  <definedNames>
    <definedName name="TipoMesa">'[1]Calculo Puntaje'!$A$48:$A$50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/>
</calcChain>
</file>

<file path=xl/sharedStrings.xml><?xml version="1.0" encoding="utf-8"?>
<sst xmlns="http://schemas.openxmlformats.org/spreadsheetml/2006/main" count="57" uniqueCount="45">
  <si>
    <t>Bingo Poker Club</t>
  </si>
  <si>
    <t>Ganancias Totales</t>
  </si>
  <si>
    <t>Pos.</t>
  </si>
  <si>
    <t>Jugador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</si>
  <si>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</si>
  <si>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</si>
  <si>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</si>
  <si>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</si>
  <si>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</si>
  <si>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</si>
  <si>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</si>
  <si>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</si>
  <si>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</si>
  <si>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</si>
  <si>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Total</t>
  </si>
  <si>
    <t>FR</t>
  </si>
  <si>
    <t>Robin</t>
  </si>
  <si>
    <t>Posiciones</t>
  </si>
  <si>
    <t>Alonso</t>
  </si>
  <si>
    <t>Cobre</t>
  </si>
  <si>
    <t>Mauro</t>
  </si>
  <si>
    <t>Diego</t>
  </si>
  <si>
    <t>Dany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</si>
  <si>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</si>
  <si>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</si>
  <si>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</si>
  <si>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</si>
  <si>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</si>
  <si>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</si>
  <si>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</si>
  <si>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</si>
  <si>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</si>
  <si>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</si>
  <si>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Lugar - Tipo de mesa</t>
  </si>
  <si>
    <t>Torneo Regular Shorthanded. (SH)</t>
  </si>
  <si>
    <t xml:space="preserve">Torneo Regular Full ring. (FR) </t>
  </si>
  <si>
    <t xml:space="preserve">Torneo Regular Multitable (MM) </t>
  </si>
  <si>
    <t>Main Event Shorthanded (SH)</t>
  </si>
  <si>
    <t xml:space="preserve">Main Event Torneo Full ring (FR) </t>
  </si>
  <si>
    <t xml:space="preserve">Main Event Torneo Multitable. (MM) </t>
  </si>
  <si>
    <t>Jugadores</t>
  </si>
  <si>
    <t>1 a 4</t>
  </si>
  <si>
    <t>Hasta 9</t>
  </si>
  <si>
    <t>Desde 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</si>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</sst>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 tint="0.34998626667073579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00"/>
      <name val="Calibri"/>
      <family val="2"/>
    </font>
    <font>
      <sz val="26"/>
      <color rgb="FFFFFF00"/>
      <name val="Arial"/>
      <family val="2"/>
    </font>
    <font>
      <b/>
      <sz val="10"/>
      <color rgb="FFFFFF00"/>
      <name val="Arial"/>
      <family val="2"/>
    </font>
    <font>
      <b/>
      <sz val="18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4" xfId="0" applyBorder="1"/>
    <xf numFmtId="3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4" xfId="0" applyFont="1" applyBorder="1"/>
    <xf numFmtId="0" fontId="6" fillId="0" borderId="0" xfId="0" applyFont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8" fillId="0" borderId="3" xfId="0" applyFont="1" applyBorder="1" applyAlignment="1">
      <alignment horizontal="center" vertical="center"/>
    </xf>
    <xf numFmtId="3" fontId="10" fillId="2" borderId="4" xfId="2" applyNumberFormat="1" applyFont="1" applyFill="1" applyBorder="1"/>
    <xf numFmtId="3" fontId="10" fillId="2" borderId="4" xfId="4" applyNumberFormat="1" applyFont="1" applyFill="1" applyBorder="1"/>
    <xf numFmtId="3" fontId="10" fillId="2" borderId="4" xfId="12" applyNumberFormat="1" applyFont="1" applyFill="1" applyBorder="1"/>
    <xf numFmtId="3" fontId="10" fillId="3" borderId="4" xfId="20" applyNumberFormat="1" applyFont="1" applyFill="1" applyBorder="1"/>
    <xf numFmtId="3" fontId="10" fillId="3" borderId="4" xfId="0" applyNumberFormat="1" applyFont="1" applyFill="1" applyBorder="1"/>
    <xf numFmtId="0" fontId="11" fillId="4" borderId="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6" borderId="4" xfId="2" applyFont="1" applyFill="1" applyBorder="1" applyAlignment="1">
      <alignment horizontal="center"/>
    </xf>
    <xf numFmtId="3" fontId="9" fillId="6" borderId="4" xfId="0" applyNumberFormat="1" applyFont="1" applyFill="1" applyBorder="1" applyAlignment="1">
      <alignment horizontal="right"/>
    </xf>
    <xf numFmtId="0" fontId="13" fillId="4" borderId="1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/>
    </xf>
    <xf numFmtId="49" fontId="15" fillId="6" borderId="4" xfId="0" applyNumberFormat="1" applyFont="1" applyFill="1" applyBorder="1" applyAlignment="1">
      <alignment horizontal="center" vertical="center"/>
    </xf>
    <xf numFmtId="49" fontId="15" fillId="6" borderId="4" xfId="0" applyNumberFormat="1" applyFont="1" applyFill="1" applyBorder="1"/>
    <xf numFmtId="0" fontId="10" fillId="3" borderId="4" xfId="0" applyFont="1" applyFill="1" applyBorder="1" applyAlignment="1">
      <alignment horizontal="center" vertical="center"/>
    </xf>
    <xf numFmtId="3" fontId="4" fillId="2" borderId="17" xfId="2" applyNumberFormat="1" applyFont="1" applyFill="1" applyBorder="1"/>
    <xf numFmtId="3" fontId="4" fillId="2" borderId="18" xfId="2" applyNumberFormat="1" applyFont="1" applyFill="1" applyBorder="1"/>
    <xf numFmtId="0" fontId="0" fillId="0" borderId="5" xfId="0" applyBorder="1"/>
    <xf numFmtId="0" fontId="17" fillId="4" borderId="6" xfId="0" applyFont="1" applyFill="1" applyBorder="1"/>
    <xf numFmtId="0" fontId="17" fillId="4" borderId="7" xfId="0" applyFont="1" applyFill="1" applyBorder="1"/>
    <xf numFmtId="0" fontId="17" fillId="4" borderId="2" xfId="0" applyFont="1" applyFill="1" applyBorder="1"/>
    <xf numFmtId="0" fontId="13" fillId="4" borderId="1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0" fillId="0" borderId="22" xfId="0" applyBorder="1"/>
    <xf numFmtId="0" fontId="14" fillId="4" borderId="1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6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8" xfId="0" applyBorder="1"/>
    <xf numFmtId="0" fontId="13" fillId="4" borderId="19" xfId="0" applyFont="1" applyFill="1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6" fillId="0" borderId="15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2" fillId="4" borderId="0" xfId="0" applyFont="1" applyFill="1" applyAlignment="1">
      <alignment horizontal="left"/>
    </xf>
    <xf numFmtId="0" fontId="0" fillId="0" borderId="0" xfId="0"/>
  </cellXfs>
  <cellStyles count="21">
    <cellStyle name="Normal" xfId="0" builtinId="0"/>
    <cellStyle name="Normal 10" xfId="20" xr:uid="{00000000-0005-0000-0000-000014000000}"/>
    <cellStyle name="Normal 2" xfId="2" xr:uid="{00000000-0005-0000-0000-000002000000}"/>
    <cellStyle name="Normal 3" xfId="1" xr:uid="{00000000-0005-0000-0000-000001000000}"/>
    <cellStyle name="Normal 3 2" xfId="5" xr:uid="{00000000-0005-0000-0000-000005000000}"/>
    <cellStyle name="Normal 3 2 2" xfId="10" xr:uid="{00000000-0005-0000-0000-00000A000000}"/>
    <cellStyle name="Normal 3 2 2 2" xfId="19" xr:uid="{00000000-0005-0000-0000-000013000000}"/>
    <cellStyle name="Normal 3 2 3" xfId="15" xr:uid="{00000000-0005-0000-0000-00000F000000}"/>
    <cellStyle name="Normal 3 3" xfId="8" xr:uid="{00000000-0005-0000-0000-000008000000}"/>
    <cellStyle name="Normal 3 3 2" xfId="17" xr:uid="{00000000-0005-0000-0000-000011000000}"/>
    <cellStyle name="Normal 3 4" xfId="13" xr:uid="{00000000-0005-0000-0000-00000D000000}"/>
    <cellStyle name="Normal 4" xfId="4" xr:uid="{00000000-0005-0000-0000-000004000000}"/>
    <cellStyle name="Normal 5" xfId="3" xr:uid="{00000000-0005-0000-0000-000003000000}"/>
    <cellStyle name="Normal 5 2" xfId="9" xr:uid="{00000000-0005-0000-0000-000009000000}"/>
    <cellStyle name="Normal 5 2 2" xfId="18" xr:uid="{00000000-0005-0000-0000-000012000000}"/>
    <cellStyle name="Normal 5 3" xfId="14" xr:uid="{00000000-0005-0000-0000-00000E000000}"/>
    <cellStyle name="Normal 6" xfId="7" xr:uid="{00000000-0005-0000-0000-000007000000}"/>
    <cellStyle name="Normal 7" xfId="6" xr:uid="{00000000-0005-0000-0000-000006000000}"/>
    <cellStyle name="Normal 7 2" xfId="16" xr:uid="{00000000-0005-0000-0000-000010000000}"/>
    <cellStyle name="Normal 8" xfId="12" xr:uid="{00000000-0005-0000-0000-00000C000000}"/>
    <cellStyle name="Normal 9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436562</xdr:colOff>
      <xdr:row>0</xdr:row>
      <xdr:rowOff>0</xdr:rowOff>
    </xdr:from>
    <xdr:to>
      <xdr:col>24</xdr:col>
      <xdr:colOff>445071</xdr:colOff>
      <xdr:row>13</xdr:row>
      <xdr:rowOff>48902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0"/>
          <a:ext cx="2302446" cy="2525402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 Liga"/>
      <sheetName val="Detalle por Fecha"/>
      <sheetName val="Calculo Puntaje"/>
      <sheetName val="Ranking"/>
    </sheetNames>
    <sheetDataSet>
      <sheetData sheetId="0"/>
      <sheetData sheetId="1"/>
      <sheetData sheetId="2">
        <row r="48">
          <cell r="A48" t="str">
            <v>Short Handled</v>
          </cell>
        </row>
        <row r="49">
          <cell r="A49" t="str">
            <v>Full Ring</v>
          </cell>
        </row>
        <row r="50">
          <cell r="A50" t="str">
            <v>Multimesa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5"/>
  <sheetViews>
    <sheetView showGridLines="0" tabSelected="1" zoomScale="80" zoomScaleNormal="80" workbookViewId="0">
      <selection activeCell="R5" sqref="R5"/>
    </sheetView>
  </sheetViews>
  <sheetFormatPr baseColWidth="10" defaultRowHeight="12.5" x14ac:dyDescent="0.25"/>
  <cols>
    <col min="1" max="1" width="3.453125" customWidth="1"/>
    <col min="2" max="2" width="4.7265625" bestFit="1" customWidth="1"/>
    <col min="3" max="3" width="10.453125" bestFit="1" customWidth="1"/>
    <col min="4" max="4" width="5.6328125" bestFit="1" customWidth="1"/>
    <col min="5" max="8" width="2.81640625" bestFit="1" customWidth="1"/>
    <col min="9" max="9" width="3.81640625" bestFit="1" customWidth="1"/>
    <col min="10" max="10" width="3.08984375" bestFit="1" customWidth="1"/>
    <col min="11" max="11" width="3.54296875" bestFit="1" customWidth="1"/>
    <col min="12" max="13" width="2.81640625" bestFit="1" customWidth="1"/>
    <col min="14" max="14" width="3.81640625" bestFit="1" customWidth="1"/>
    <col min="15" max="15" width="5.453125" bestFit="1" customWidth="1"/>
    <col min="16" max="16" width="3.453125" bestFit="1" customWidth="1"/>
    <col min="17" max="17" width="10.6328125" bestFit="1" customWidth="1"/>
    <col min="18" max="18" width="16.90625" bestFit="1" customWidth="1"/>
    <col min="19" max="19" width="14.08984375" customWidth="1"/>
    <col min="20" max="20" width="9.54296875" bestFit="1" customWidth="1"/>
    <col min="21" max="22" width="3.90625" bestFit="1" customWidth="1"/>
    <col min="23" max="23" width="4.6328125" customWidth="1"/>
  </cols>
  <sheetData>
    <row r="1" spans="2:19" ht="13" customHeight="1" thickBot="1" x14ac:dyDescent="0.3"/>
    <row r="2" spans="2:19" ht="23.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Q2" s="44" t="s">
        <v>1</v>
      </c>
      <c r="R2" s="45"/>
      <c r="S2" s="46"/>
    </row>
    <row r="3" spans="2:19" ht="15" customHeight="1" thickBot="1" x14ac:dyDescent="0.4">
      <c r="B3" s="36" t="s">
        <v>2</v>
      </c>
      <c r="C3" s="36" t="s">
        <v>3</v>
      </c>
      <c r="D3" s="36" t="s">
        <v>4</v>
      </c>
      <c r="E3" s="23" t="s">
        <v>5</v>
      </c>
      <c r="F3" s="24" t="s">
        <v>6</v>
      </c>
      <c r="G3" s="23" t="s">
        <v>7</v>
      </c>
      <c r="H3" s="24" t="s">
        <v>8</v>
      </c>
      <c r="I3" s="23" t="s">
        <v>9</v>
      </c>
      <c r="J3" s="24" t="s">
        <v>10</v>
      </c>
      <c r="K3" s="23" t="s">
        <v>11</v>
      </c>
      <c r="L3" s="24" t="s">
        <v>12</v>
      </c>
      <c r="M3" s="23" t="s">
        <v>13</v>
      </c>
      <c r="N3" s="22">
        <v>10</v>
      </c>
      <c r="O3" s="41" t="s">
        <v>14</v>
      </c>
      <c r="P3" s="3"/>
      <c r="Q3" s="47">
        <v>67500</v>
      </c>
      <c r="R3" s="48"/>
      <c r="S3" s="49"/>
    </row>
    <row r="4" spans="2:19" ht="15" customHeight="1" thickBot="1" x14ac:dyDescent="0.3">
      <c r="B4" s="37"/>
      <c r="C4" s="37"/>
      <c r="D4" s="37"/>
      <c r="E4" s="22" t="s">
        <v>15</v>
      </c>
      <c r="F4" s="22" t="s">
        <v>15</v>
      </c>
      <c r="G4" s="22"/>
      <c r="H4" s="22"/>
      <c r="I4" s="22"/>
      <c r="J4" s="22"/>
      <c r="K4" s="22"/>
      <c r="L4" s="22"/>
      <c r="M4" s="22"/>
      <c r="N4" s="22"/>
      <c r="O4" s="37"/>
      <c r="P4" s="3"/>
      <c r="Q4" s="5"/>
    </row>
    <row r="5" spans="2:19" ht="14.5" customHeight="1" x14ac:dyDescent="0.35">
      <c r="B5" s="19">
        <v>1</v>
      </c>
      <c r="C5" s="26" t="s">
        <v>16</v>
      </c>
      <c r="D5" s="27"/>
      <c r="E5" s="10">
        <v>50</v>
      </c>
      <c r="F5" s="10">
        <v>50</v>
      </c>
      <c r="G5" s="10"/>
      <c r="H5" s="11"/>
      <c r="I5" s="25"/>
      <c r="J5" s="10"/>
      <c r="K5" s="10"/>
      <c r="L5" s="12"/>
      <c r="M5" s="14"/>
      <c r="N5" s="25"/>
      <c r="O5" s="20">
        <v>100</v>
      </c>
      <c r="P5" s="2"/>
      <c r="Q5" s="32" t="s">
        <v>17</v>
      </c>
      <c r="R5" s="33">
        <v>16875</v>
      </c>
      <c r="S5" s="21">
        <v>13500</v>
      </c>
    </row>
    <row r="6" spans="2:19" ht="14.5" customHeight="1" x14ac:dyDescent="0.35">
      <c r="B6" s="19">
        <v>2</v>
      </c>
      <c r="C6" s="26" t="s">
        <v>18</v>
      </c>
      <c r="D6" s="27"/>
      <c r="E6" s="10">
        <v>35</v>
      </c>
      <c r="F6" s="10">
        <v>35</v>
      </c>
      <c r="G6" s="10"/>
      <c r="H6" s="11"/>
      <c r="I6" s="25"/>
      <c r="J6" s="10"/>
      <c r="K6" s="10"/>
      <c r="L6" s="10"/>
      <c r="M6" s="13"/>
      <c r="N6" s="25"/>
      <c r="O6" s="20">
        <v>70</v>
      </c>
      <c r="P6" s="2"/>
      <c r="Q6" s="34">
        <v>1</v>
      </c>
      <c r="R6" s="1">
        <v>10125</v>
      </c>
      <c r="S6" s="8">
        <v>8100</v>
      </c>
    </row>
    <row r="7" spans="2:19" ht="14.5" customHeight="1" x14ac:dyDescent="0.35">
      <c r="B7" s="19">
        <v>3</v>
      </c>
      <c r="C7" s="26" t="s">
        <v>19</v>
      </c>
      <c r="D7" s="27"/>
      <c r="E7" s="10">
        <v>10</v>
      </c>
      <c r="F7" s="10">
        <v>20</v>
      </c>
      <c r="G7" s="10"/>
      <c r="H7" s="11"/>
      <c r="I7" s="25"/>
      <c r="J7" s="4"/>
      <c r="K7" s="4"/>
      <c r="L7" s="4"/>
      <c r="M7" s="4"/>
      <c r="N7" s="25"/>
      <c r="O7" s="20">
        <v>30</v>
      </c>
      <c r="P7" s="2"/>
      <c r="Q7" s="34">
        <v>2</v>
      </c>
      <c r="R7" s="1">
        <v>6750</v>
      </c>
      <c r="S7" s="8">
        <v>5400</v>
      </c>
    </row>
    <row r="8" spans="2:19" ht="15" customHeight="1" thickBot="1" x14ac:dyDescent="0.4">
      <c r="B8" s="19">
        <v>4</v>
      </c>
      <c r="C8" s="26" t="s">
        <v>20</v>
      </c>
      <c r="D8" s="27"/>
      <c r="E8" s="10">
        <v>20</v>
      </c>
      <c r="F8" s="10">
        <v>0</v>
      </c>
      <c r="G8" s="10"/>
      <c r="H8" s="11"/>
      <c r="I8" s="25"/>
      <c r="J8" s="10"/>
      <c r="K8" s="10"/>
      <c r="L8" s="10"/>
      <c r="M8" s="13"/>
      <c r="N8" s="25"/>
      <c r="O8" s="20">
        <v>20</v>
      </c>
      <c r="P8" s="2"/>
      <c r="Q8" s="35">
        <v>3</v>
      </c>
      <c r="R8" s="6">
        <f>(Q3*60%)*20%</f>
        <v>8100</v>
      </c>
      <c r="S8" s="7">
        <f>(Q3*30%)*20%</f>
        <v>4050</v>
      </c>
    </row>
    <row r="9" spans="2:19" ht="14.5" customHeight="1" x14ac:dyDescent="0.35">
      <c r="B9" s="19">
        <v>5</v>
      </c>
      <c r="C9" s="26" t="s">
        <v>21</v>
      </c>
      <c r="D9" s="27"/>
      <c r="E9" s="10">
        <v>0</v>
      </c>
      <c r="F9" s="10">
        <v>10</v>
      </c>
      <c r="G9" s="10"/>
      <c r="H9" s="11"/>
      <c r="I9" s="25"/>
      <c r="J9" s="10"/>
      <c r="K9" s="10"/>
      <c r="L9" s="12"/>
      <c r="M9" s="13"/>
      <c r="N9" s="25"/>
      <c r="O9" s="20">
        <v>10</v>
      </c>
      <c r="P9" s="2"/>
    </row>
    <row r="10" spans="2:19" ht="14.5" customHeight="1" x14ac:dyDescent="0.35">
      <c r="B10" s="19">
        <v>6</v>
      </c>
      <c r="C10" s="26" t="s">
        <v>22</v>
      </c>
      <c r="D10" s="27"/>
      <c r="E10" s="10">
        <v>0</v>
      </c>
      <c r="F10" s="10">
        <v>0</v>
      </c>
      <c r="G10" s="10"/>
      <c r="H10" s="11"/>
      <c r="I10" s="25"/>
      <c r="J10" s="10"/>
      <c r="K10" s="10"/>
      <c r="L10" s="12"/>
      <c r="M10" s="13"/>
      <c r="N10" s="25"/>
      <c r="O10" s="20">
        <v>0</v>
      </c>
      <c r="P10" s="2"/>
    </row>
    <row r="11" spans="2:19" ht="14.5" customHeight="1" x14ac:dyDescent="0.35">
      <c r="B11" s="19">
        <v>7</v>
      </c>
      <c r="C11" s="42"/>
      <c r="D11" s="43"/>
      <c r="E11" s="10"/>
      <c r="F11" s="10"/>
      <c r="G11" s="10"/>
      <c r="H11" s="11"/>
      <c r="I11" s="25"/>
      <c r="J11" s="4"/>
      <c r="K11" s="4"/>
      <c r="L11" s="4"/>
      <c r="M11" s="4"/>
      <c r="N11" s="25"/>
      <c r="O11" s="20"/>
      <c r="P11" s="2"/>
    </row>
    <row r="12" spans="2:19" ht="14.5" customHeight="1" x14ac:dyDescent="0.35">
      <c r="P12" s="2"/>
    </row>
    <row r="24" spans="19:19" ht="13" customHeight="1" thickBot="1" x14ac:dyDescent="0.3"/>
    <row r="25" spans="19:19" ht="13" customHeight="1" thickBot="1" x14ac:dyDescent="0.3">
      <c r="S25" s="28"/>
    </row>
  </sheetData>
  <mergeCells count="8">
    <mergeCell ref="Q2:S2"/>
    <mergeCell ref="Q3:S3"/>
    <mergeCell ref="C3:C4"/>
    <mergeCell ref="B3:B4"/>
    <mergeCell ref="B2:O2"/>
    <mergeCell ref="O3:O4"/>
    <mergeCell ref="C11:D11"/>
    <mergeCell ref="D3:D4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"/>
  <sheetViews>
    <sheetView workbookViewId="0">
      <selection activeCell="F12" sqref="F12"/>
    </sheetView>
  </sheetViews>
  <sheetFormatPr baseColWidth="10" defaultRowHeight="12.5" x14ac:dyDescent="0.25"/>
  <sheetData>
    <row r="1" spans="2:12" ht="13" customHeight="1" thickBot="1" x14ac:dyDescent="0.3"/>
    <row r="2" spans="2:12" x14ac:dyDescent="0.25">
      <c r="B2" s="29" t="s">
        <v>23</v>
      </c>
      <c r="C2" s="30" t="s">
        <v>24</v>
      </c>
      <c r="D2" s="30" t="s">
        <v>25</v>
      </c>
      <c r="E2" s="30" t="s">
        <v>26</v>
      </c>
      <c r="F2" s="30" t="s">
        <v>27</v>
      </c>
      <c r="G2" s="30" t="s">
        <v>28</v>
      </c>
      <c r="H2" s="30" t="s">
        <v>29</v>
      </c>
      <c r="I2" s="30" t="s">
        <v>30</v>
      </c>
      <c r="J2" s="30" t="s">
        <v>31</v>
      </c>
      <c r="K2" s="30" t="s">
        <v>32</v>
      </c>
      <c r="L2" s="31" t="s">
        <v>14</v>
      </c>
    </row>
    <row r="3" spans="2:12" x14ac:dyDescent="0.25">
      <c r="B3" s="1">
        <v>39000</v>
      </c>
      <c r="C3" s="1">
        <v>28500</v>
      </c>
      <c r="D3" s="1"/>
      <c r="E3" s="1"/>
      <c r="F3" s="1"/>
      <c r="G3" s="1"/>
      <c r="H3" s="1"/>
      <c r="I3" s="1"/>
      <c r="J3" s="1"/>
      <c r="K3" s="1"/>
      <c r="L3" s="1">
        <v>67500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"/>
  <sheetViews>
    <sheetView showGridLines="0" zoomScale="87" zoomScaleNormal="100" workbookViewId="0">
      <selection activeCell="D13" sqref="D13"/>
    </sheetView>
  </sheetViews>
  <sheetFormatPr baseColWidth="10" defaultRowHeight="12.5" x14ac:dyDescent="0.25"/>
  <sheetData>
    <row r="1" spans="2:8" ht="32.5" customHeight="1" x14ac:dyDescent="0.65">
      <c r="B1" s="50"/>
      <c r="C1" s="51"/>
      <c r="D1" s="51"/>
      <c r="E1" s="51"/>
      <c r="F1" s="51"/>
      <c r="G1" s="51"/>
      <c r="H1" s="51"/>
    </row>
    <row r="2" spans="2:8" ht="13" customHeight="1" thickBot="1" x14ac:dyDescent="0.3"/>
    <row r="3" spans="2:8" ht="52.5" customHeight="1" thickBot="1" x14ac:dyDescent="0.3">
      <c r="B3" s="15" t="s">
        <v>33</v>
      </c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</row>
    <row r="4" spans="2:8" ht="13.5" customHeight="1" thickBot="1" x14ac:dyDescent="0.3">
      <c r="B4" s="17" t="s">
        <v>40</v>
      </c>
      <c r="C4" s="18" t="s">
        <v>41</v>
      </c>
      <c r="D4" s="18" t="s">
        <v>42</v>
      </c>
      <c r="E4" s="18" t="s">
        <v>43</v>
      </c>
      <c r="F4" s="18" t="s">
        <v>41</v>
      </c>
      <c r="G4" s="18" t="s">
        <v>42</v>
      </c>
      <c r="H4" s="18" t="s">
        <v>43</v>
      </c>
    </row>
    <row r="5" spans="2:8" ht="15" customHeight="1" thickBot="1" x14ac:dyDescent="0.3">
      <c r="B5" s="17">
        <v>1</v>
      </c>
      <c r="C5" s="9">
        <v>30</v>
      </c>
      <c r="D5" s="9">
        <v>50</v>
      </c>
      <c r="E5" s="9">
        <v>70</v>
      </c>
      <c r="F5" s="9">
        <v>70</v>
      </c>
      <c r="G5" s="9">
        <v>100</v>
      </c>
      <c r="H5" s="9">
        <v>130</v>
      </c>
    </row>
    <row r="6" spans="2:8" ht="15" customHeight="1" thickBot="1" x14ac:dyDescent="0.3">
      <c r="B6" s="17">
        <v>2</v>
      </c>
      <c r="C6" s="9">
        <v>10</v>
      </c>
      <c r="D6" s="9">
        <v>35</v>
      </c>
      <c r="E6" s="9">
        <v>50</v>
      </c>
      <c r="F6" s="9">
        <v>30</v>
      </c>
      <c r="G6" s="9">
        <v>75</v>
      </c>
      <c r="H6" s="9">
        <v>90</v>
      </c>
    </row>
    <row r="7" spans="2:8" ht="15" customHeight="1" thickBot="1" x14ac:dyDescent="0.3">
      <c r="B7" s="17">
        <v>3</v>
      </c>
      <c r="C7" s="9" t="s">
        <v>44</v>
      </c>
      <c r="D7" s="9">
        <v>20</v>
      </c>
      <c r="E7" s="9">
        <v>30</v>
      </c>
      <c r="F7" s="9" t="s">
        <v>44</v>
      </c>
      <c r="G7" s="9">
        <v>40</v>
      </c>
      <c r="H7" s="9">
        <v>50</v>
      </c>
    </row>
    <row r="8" spans="2:8" ht="15" customHeight="1" thickBot="1" x14ac:dyDescent="0.3">
      <c r="B8" s="17">
        <v>4</v>
      </c>
      <c r="C8" s="9" t="s">
        <v>44</v>
      </c>
      <c r="D8" s="9">
        <v>10</v>
      </c>
      <c r="E8" s="9">
        <v>20</v>
      </c>
      <c r="F8" s="9" t="s">
        <v>44</v>
      </c>
      <c r="G8" s="9">
        <v>20</v>
      </c>
      <c r="H8" s="9">
        <v>35</v>
      </c>
    </row>
    <row r="9" spans="2:8" ht="15" customHeight="1" thickBot="1" x14ac:dyDescent="0.3">
      <c r="B9" s="17">
        <v>5</v>
      </c>
      <c r="C9" s="9" t="s">
        <v>44</v>
      </c>
      <c r="D9" s="9" t="s">
        <v>44</v>
      </c>
      <c r="E9" s="9" t="s">
        <v>44</v>
      </c>
      <c r="F9" s="9" t="s">
        <v>44</v>
      </c>
      <c r="G9" s="9">
        <v>10</v>
      </c>
      <c r="H9" s="9">
        <v>20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Posiciones</vt:lpstr>
      <vt:lpstr>rake</vt:lpstr>
      <vt:lpstr>Clasificacion de Puntos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dgalvez</dc:creator>
  <cp:lastModifiedBy>Diego Galvez</cp:lastModifiedBy>
  <cp:lastPrinted>2015-11-10T12:51:08Z</cp:lastPrinted>
  <dcterms:created xsi:type="dcterms:W3CDTF">2011-11-02T17:26:58Z</dcterms:created>
  <dcterms:modified xsi:type="dcterms:W3CDTF">2026-08-11T02:26:04Z</dcterms:modified>
</cp:coreProperties>
</file>